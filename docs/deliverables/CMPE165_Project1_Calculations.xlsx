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2.xml" ContentType="application/vnd.openxmlformats-officedocument.drawing+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drawings/drawing3.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Assumptions" sheetId="2" state="visible" r:id="rId2"/>
    <sheet xmlns:r="http://schemas.openxmlformats.org/officeDocument/2006/relationships" name="Part C Scoring" sheetId="3" state="visible" r:id="rId3"/>
    <sheet xmlns:r="http://schemas.openxmlformats.org/officeDocument/2006/relationships" name="Part D NPV" sheetId="4" state="visible" r:id="rId4"/>
    <sheet xmlns:r="http://schemas.openxmlformats.org/officeDocument/2006/relationships" name="Part H Risks" sheetId="5" state="visible" r:id="rId5"/>
    <sheet xmlns:r="http://schemas.openxmlformats.org/officeDocument/2006/relationships" name="Part I Decision Tree" sheetId="6" state="visible" r:id="rId6"/>
    <sheet xmlns:r="http://schemas.openxmlformats.org/officeDocument/2006/relationships" name="Part J Inputs" sheetId="7" state="visible" r:id="rId7"/>
    <sheet xmlns:r="http://schemas.openxmlformats.org/officeDocument/2006/relationships" name="Part J Results" sheetId="8" state="visible" r:id="rId8"/>
    <sheet xmlns:r="http://schemas.openxmlformats.org/officeDocument/2006/relationships" name="Part J Sensitivity" sheetId="9" state="visible" r:id="rId9"/>
  </sheets>
  <definedNames/>
  <calcPr calcId="124519" fullCalcOnLoad="1"/>
</workbook>
</file>

<file path=xl/styles.xml><?xml version="1.0" encoding="utf-8"?>
<styleSheet xmlns="http://schemas.openxmlformats.org/spreadsheetml/2006/main">
  <numFmts count="4">
    <numFmt numFmtId="164" formatCode="0.0%"/>
    <numFmt numFmtId="165" formatCode="&quot;$&quot;#,##0"/>
    <numFmt numFmtId="166" formatCode="0.00000"/>
    <numFmt numFmtId="167" formatCode="0.000"/>
  </numFmts>
  <fonts count="7">
    <font>
      <name val="Calibri"/>
      <family val="2"/>
      <color theme="1"/>
      <sz val="11"/>
      <scheme val="minor"/>
    </font>
    <font>
      <b val="1"/>
      <color rgb="000055A2"/>
      <sz val="14"/>
    </font>
    <font>
      <i val="1"/>
      <color rgb="00555555"/>
      <sz val="9"/>
    </font>
    <font>
      <b val="1"/>
    </font>
    <font>
      <b val="1"/>
      <color rgb="00FFFFFF"/>
      <sz val="11"/>
    </font>
    <font>
      <b val="1"/>
      <color rgb="001E6F45"/>
      <sz val="12"/>
    </font>
    <font>
      <b val="1"/>
      <color rgb="00C4504B"/>
    </font>
  </fonts>
  <fills count="4">
    <fill>
      <patternFill/>
    </fill>
    <fill>
      <patternFill patternType="gray125"/>
    </fill>
    <fill>
      <patternFill patternType="solid">
        <fgColor rgb="000055A2"/>
      </patternFill>
    </fill>
    <fill>
      <patternFill patternType="solid">
        <fgColor rgb="00FFF6E0"/>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8">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pivotButton="0" quotePrefix="0" xfId="0"/>
    <xf numFmtId="0" fontId="4" fillId="2" borderId="1" applyAlignment="1" pivotButton="0" quotePrefix="0" xfId="0">
      <alignment vertical="center" wrapText="1"/>
    </xf>
    <xf numFmtId="0" fontId="0" fillId="0" borderId="1" pivotButton="0" quotePrefix="0" xfId="0"/>
    <xf numFmtId="0" fontId="0" fillId="0" borderId="1" applyAlignment="1" pivotButton="0" quotePrefix="0" xfId="0">
      <alignment vertical="top" wrapText="1"/>
    </xf>
    <xf numFmtId="164" fontId="0" fillId="0" borderId="1" pivotButton="0" quotePrefix="0" xfId="0"/>
    <xf numFmtId="165" fontId="0" fillId="0" borderId="1" pivotButton="0" quotePrefix="0" xfId="0"/>
    <xf numFmtId="164" fontId="0" fillId="0" borderId="0" pivotButton="0" quotePrefix="0" xfId="0"/>
    <xf numFmtId="2" fontId="0" fillId="3" borderId="1" pivotButton="0" quotePrefix="0" xfId="0"/>
    <xf numFmtId="164" fontId="3" fillId="3" borderId="0" pivotButton="0" quotePrefix="0" xfId="0"/>
    <xf numFmtId="2" fontId="3" fillId="3" borderId="0" pivotButton="0" quotePrefix="0" xfId="0"/>
    <xf numFmtId="2" fontId="0" fillId="3" borderId="0" pivotButton="0" quotePrefix="0" xfId="0"/>
    <xf numFmtId="0" fontId="2" fillId="0" borderId="0" pivotButton="0" quotePrefix="0" xfId="0"/>
    <xf numFmtId="165" fontId="0" fillId="0" borderId="0" pivotButton="0" quotePrefix="0" xfId="0"/>
    <xf numFmtId="165" fontId="0" fillId="3" borderId="1" pivotButton="0" quotePrefix="0" xfId="0"/>
    <xf numFmtId="166" fontId="0" fillId="3" borderId="1" pivotButton="0" quotePrefix="0" xfId="0"/>
    <xf numFmtId="165" fontId="3" fillId="3" borderId="0" pivotButton="0" quotePrefix="0" xfId="0"/>
    <xf numFmtId="165" fontId="0" fillId="3" borderId="0" pivotButton="0" quotePrefix="0" xfId="0"/>
    <xf numFmtId="165" fontId="5" fillId="3" borderId="0" pivotButton="0" quotePrefix="0" xfId="0"/>
    <xf numFmtId="164" fontId="0" fillId="3" borderId="0" pivotButton="0" quotePrefix="0" xfId="0"/>
    <xf numFmtId="0" fontId="0" fillId="3" borderId="1" pivotButton="0" quotePrefix="0" xfId="0"/>
    <xf numFmtId="165" fontId="3" fillId="3" borderId="1" pivotButton="0" quotePrefix="0" xfId="0"/>
    <xf numFmtId="0" fontId="0" fillId="0" borderId="0" applyAlignment="1" pivotButton="0" quotePrefix="0" xfId="0">
      <alignment vertical="top" wrapText="1"/>
    </xf>
    <xf numFmtId="164" fontId="6" fillId="0" borderId="0" pivotButton="0" quotePrefix="0" xfId="0"/>
    <xf numFmtId="167" fontId="0" fillId="0" borderId="1" pivotButton="0" quotePrefix="0" xfId="0"/>
    <xf numFmtId="164" fontId="0" fillId="3"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Weighted score by criterion</a:t>
            </a:r>
          </a:p>
        </rich>
      </tx>
    </title>
    <plotArea>
      <barChart>
        <barDir val="col"/>
        <grouping val="clustered"/>
        <ser>
          <idx val="0"/>
          <order val="0"/>
          <tx>
            <strRef>
              <f>'Part C Scoring'!D4</f>
            </strRef>
          </tx>
          <spPr>
            <a:ln xmlns:a="http://schemas.openxmlformats.org/drawingml/2006/main">
              <a:prstDash val="solid"/>
            </a:ln>
          </spPr>
          <cat>
            <numRef>
              <f>'Part C Scoring'!$A$5:$A$10</f>
            </numRef>
          </cat>
          <val>
            <numRef>
              <f>'Part C Scoring'!$D$5:$D$10</f>
            </numRef>
          </val>
        </ser>
        <ser>
          <idx val="1"/>
          <order val="1"/>
          <tx>
            <strRef>
              <f>'Part C Scoring'!F4</f>
            </strRef>
          </tx>
          <spPr>
            <a:ln xmlns:a="http://schemas.openxmlformats.org/drawingml/2006/main">
              <a:prstDash val="solid"/>
            </a:ln>
          </spPr>
          <cat>
            <numRef>
              <f>'Part C Scoring'!$A$5:$A$10</f>
            </numRef>
          </cat>
          <val>
            <numRef>
              <f>'Part C Scoring'!$F$5:$F$10</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Weighted contribution</a:t>
                </a:r>
              </a:p>
            </rich>
          </tx>
        </title>
        <majorTickMark val="none"/>
        <minorTickMark val="none"/>
        <crossAx val="10"/>
      </valAx>
    </plotArea>
    <legend>
      <legendPos val="r"/>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Expected monetary value by funding option</a:t>
            </a:r>
          </a:p>
        </rich>
      </tx>
    </title>
    <plotArea>
      <barChart>
        <barDir val="col"/>
        <grouping val="clustered"/>
        <ser>
          <idx val="0"/>
          <order val="0"/>
          <tx>
            <strRef>
              <f>'Part I Decision Tree'!B15</f>
            </strRef>
          </tx>
          <spPr>
            <a:ln xmlns:a="http://schemas.openxmlformats.org/drawingml/2006/main">
              <a:prstDash val="solid"/>
            </a:ln>
          </spPr>
          <cat>
            <numRef>
              <f>'Part I Decision Tree'!$A$16:$A$18</f>
            </numRef>
          </cat>
          <val>
            <numRef>
              <f>'Part I Decision Tree'!$B$16:$B$18</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EMV (USD)</a:t>
                </a:r>
              </a:p>
            </rich>
          </tx>
        </title>
        <majorTickMark val="none"/>
        <minorTickMark val="none"/>
        <crossAx val="10"/>
      </valAx>
    </plotArea>
    <legend>
      <legendPos val="r"/>
    </legend>
    <plotVisOnly val="1"/>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Which uncertainty moves NPV</a:t>
            </a:r>
          </a:p>
        </rich>
      </tx>
    </title>
    <plotArea>
      <barChart>
        <barDir val="bar"/>
        <grouping val="clustered"/>
        <ser>
          <idx val="0"/>
          <order val="0"/>
          <tx>
            <strRef>
              <f>'Part J Sensitivity'!B4</f>
            </strRef>
          </tx>
          <spPr>
            <a:ln xmlns:a="http://schemas.openxmlformats.org/drawingml/2006/main">
              <a:prstDash val="solid"/>
            </a:ln>
          </spPr>
          <cat>
            <numRef>
              <f>'Part J Sensitivity'!$A$5:$A$10</f>
            </numRef>
          </cat>
          <val>
            <numRef>
              <f>'Part J Sensitivity'!$B$5:$B$10</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_rels/drawing2.xml.rels><Relationships xmlns="http://schemas.openxmlformats.org/package/2006/relationships"><Relationship Type="http://schemas.openxmlformats.org/officeDocument/2006/relationships/chart" Target="/xl/charts/chart2.xml" Id="rId1"/></Relationships>
</file>

<file path=xl/drawings/_rels/drawing3.xml.rels><Relationships xmlns="http://schemas.openxmlformats.org/package/2006/relationships"><Relationship Type="http://schemas.openxmlformats.org/officeDocument/2006/relationships/chart" Target="/xl/charts/chart3.xml" Id="rId1"/></Relationships>
</file>

<file path=xl/drawings/drawing1.xml><?xml version="1.0" encoding="utf-8"?>
<wsDr xmlns="http://schemas.openxmlformats.org/drawingml/2006/spreadsheetDrawing">
  <oneCellAnchor>
    <from>
      <col>0</col>
      <colOff>0</colOff>
      <row>19</row>
      <rowOff>0</rowOff>
    </from>
    <ext cx="648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2.xml><?xml version="1.0" encoding="utf-8"?>
<wsDr xmlns="http://schemas.openxmlformats.org/drawingml/2006/spreadsheetDrawing">
  <oneCellAnchor>
    <from>
      <col>0</col>
      <colOff>0</colOff>
      <row>22</row>
      <rowOff>0</rowOff>
    </from>
    <ext cx="648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3.xml><?xml version="1.0" encoding="utf-8"?>
<wsDr xmlns="http://schemas.openxmlformats.org/drawingml/2006/spreadsheetDrawing">
  <oneCellAnchor>
    <from>
      <col>0</col>
      <colOff>0</colOff>
      <row>14</row>
      <rowOff>0</rowOff>
    </from>
    <ext cx="6480000" cy="32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drawing" Target="/xl/drawings/drawing1.xml" Id="rId1"/></Relationships>
</file>

<file path=xl/worksheets/_rels/sheet6.xml.rels><Relationships xmlns="http://schemas.openxmlformats.org/package/2006/relationships"><Relationship Type="http://schemas.openxmlformats.org/officeDocument/2006/relationships/drawing" Target="/xl/drawings/drawing2.xml" Id="rId1"/></Relationships>
</file>

<file path=xl/worksheets/_rels/sheet9.xml.rels><Relationships xmlns="http://schemas.openxmlformats.org/package/2006/relationships"><Relationship Type="http://schemas.openxmlformats.org/officeDocument/2006/relationships/drawing" Target="/xl/drawings/drawing3.xml" Id="rId1"/></Relationships>
</file>

<file path=xl/worksheets/sheet1.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26" customWidth="1" min="1" max="1"/>
    <col width="74" customWidth="1" min="2" max="2"/>
  </cols>
  <sheetData>
    <row r="1">
      <c r="A1" s="1" t="inlineStr">
        <is>
          <t>HelpDesk165 — Calculation Appendix</t>
        </is>
      </c>
    </row>
    <row r="2" ht="30" customHeight="1">
      <c r="A2" s="2" t="inlineStr">
        <is>
          <t>CMPE 165 Project 1. Every number in the written report and the class deck is produced by the scripts in analysis/ and reproduced here. Shaded cells are live Excel formulas, not pasted values.</t>
        </is>
      </c>
    </row>
    <row r="4">
      <c r="A4" s="3" t="inlineStr">
        <is>
          <t>Organization</t>
        </is>
      </c>
      <c r="B4" t="inlineStr">
        <is>
          <t>SJSU Campus Technology Services (CTS)</t>
        </is>
      </c>
    </row>
    <row r="5">
      <c r="A5" s="3" t="inlineStr">
        <is>
          <t>Product</t>
        </is>
      </c>
      <c r="B5" t="inlineStr">
        <is>
          <t>HelpDesk165</t>
        </is>
      </c>
    </row>
    <row r="6">
      <c r="A6" s="3" t="inlineStr">
        <is>
          <t>Recommendation</t>
        </is>
      </c>
      <c r="B6" t="inlineStr">
        <is>
          <t>GO WITH CONDITIONS</t>
        </is>
      </c>
    </row>
    <row r="8">
      <c r="A8" s="3" t="inlineStr">
        <is>
          <t>Regenerate everything</t>
        </is>
      </c>
      <c r="B8" t="inlineStr">
        <is>
          <t>python -m analysis.run_all</t>
        </is>
      </c>
    </row>
    <row r="9">
      <c r="A9" s="3" t="inlineStr">
        <is>
          <t>Rebuild this workbook</t>
        </is>
      </c>
      <c r="B9" t="inlineStr">
        <is>
          <t>python -m tools.build_workbook</t>
        </is>
      </c>
    </row>
    <row r="10">
      <c r="A10" s="3" t="inlineStr">
        <is>
          <t>Run the test suite</t>
        </is>
      </c>
      <c r="B10" t="inlineStr">
        <is>
          <t>python -m pytest -q</t>
        </is>
      </c>
    </row>
    <row r="11">
      <c r="A11" s="3" t="inlineStr">
        <is>
          <t>Run the prototype</t>
        </is>
      </c>
      <c r="B11" t="inlineStr">
        <is>
          <t>streamlit run app/Home.py</t>
        </is>
      </c>
    </row>
    <row r="13">
      <c r="A13" s="3" t="inlineStr">
        <is>
          <t>Sheet</t>
        </is>
      </c>
      <c r="B13" t="inlineStr">
        <is>
          <t>What it contains</t>
        </is>
      </c>
    </row>
    <row r="14">
      <c r="A14" s="3" t="inlineStr">
        <is>
          <t>Assumptions</t>
        </is>
      </c>
      <c r="B14" t="inlineStr">
        <is>
          <t>Every input, with the reasoning behind it</t>
        </is>
      </c>
    </row>
    <row r="15">
      <c r="A15" s="3" t="inlineStr">
        <is>
          <t>Part C Scoring</t>
        </is>
      </c>
      <c r="B15" t="inlineStr">
        <is>
          <t>Weighted scoring model, Project A vs Project B</t>
        </is>
      </c>
    </row>
    <row r="16">
      <c r="A16" s="3" t="inlineStr">
        <is>
          <t>Part D NPV</t>
        </is>
      </c>
      <c r="B16" t="inlineStr">
        <is>
          <t>Four-year discounted cash flow and NPV</t>
        </is>
      </c>
    </row>
    <row r="17">
      <c r="A17" s="3" t="inlineStr">
        <is>
          <t>Part H Risks</t>
        </is>
      </c>
      <c r="B17" t="inlineStr">
        <is>
          <t>Risk register with qualitative score and dollar exposure</t>
        </is>
      </c>
    </row>
    <row r="18">
      <c r="A18" s="3" t="inlineStr">
        <is>
          <t>Part I Decision Tree</t>
        </is>
      </c>
      <c r="B18" t="inlineStr">
        <is>
          <t>Three funding options and their expected values</t>
        </is>
      </c>
    </row>
    <row r="19">
      <c r="A19" s="3" t="inlineStr">
        <is>
          <t>Part J Inputs</t>
        </is>
      </c>
      <c r="B19" t="inlineStr">
        <is>
          <t>Monte Carlo distributions for six uncertain variables</t>
        </is>
      </c>
    </row>
    <row r="20">
      <c r="A20" s="3" t="inlineStr">
        <is>
          <t>Part J Results</t>
        </is>
      </c>
      <c r="B20" t="inlineStr">
        <is>
          <t>Simulated cost and NPV, percentiles, and thresholds</t>
        </is>
      </c>
    </row>
    <row r="21">
      <c r="A21" s="3" t="inlineStr">
        <is>
          <t>Part J Sensitivity</t>
        </is>
      </c>
      <c r="B21" t="inlineStr">
        <is>
          <t>Which uncertainty actually moves the business case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8"/>
  <sheetViews>
    <sheetView workbookViewId="0">
      <pane ySplit="4" topLeftCell="A5" activePane="bottomLeft" state="frozen"/>
      <selection pane="bottomLeft" activeCell="A1" sqref="A1"/>
    </sheetView>
  </sheetViews>
  <sheetFormatPr baseColWidth="8" defaultRowHeight="15"/>
  <cols>
    <col width="34" customWidth="1" min="1" max="1"/>
    <col width="14" customWidth="1" min="2" max="2"/>
    <col width="14" customWidth="1" min="3" max="3"/>
    <col width="62" customWidth="1" min="4" max="4"/>
  </cols>
  <sheetData>
    <row r="1">
      <c r="A1" s="1" t="inlineStr">
        <is>
          <t>Assumptions</t>
        </is>
      </c>
    </row>
    <row r="2" ht="30" customHeight="1">
      <c r="A2" s="2" t="inlineStr">
        <is>
          <t>These are the only inputs. Everything else in this workbook is derived from them. Source: analysis/assumptions.py.</t>
        </is>
      </c>
    </row>
    <row r="4" ht="30" customHeight="1">
      <c r="A4" s="4" t="inlineStr">
        <is>
          <t>Input</t>
        </is>
      </c>
      <c r="B4" s="4" t="inlineStr">
        <is>
          <t>Value</t>
        </is>
      </c>
      <c r="C4" s="4" t="inlineStr">
        <is>
          <t>Unit</t>
        </is>
      </c>
      <c r="D4" s="4" t="inlineStr">
        <is>
          <t>Basis</t>
        </is>
      </c>
    </row>
    <row r="5">
      <c r="A5" s="5" t="inlineStr">
        <is>
          <t>Annual ticket volume</t>
        </is>
      </c>
      <c r="B5" s="5" t="n">
        <v>24000</v>
      </c>
      <c r="C5" s="5" t="inlineStr">
        <is>
          <t>tickets/year</t>
        </is>
      </c>
      <c r="D5" s="6" t="inlineStr">
        <is>
          <t>About 2,000 requests a month across the shared inbox, three departmental spreadsheets, and walk-ups.</t>
        </is>
      </c>
    </row>
    <row r="6">
      <c r="A6" s="5" t="inlineStr">
        <is>
          <t>Ticket volume growth</t>
        </is>
      </c>
      <c r="B6" s="7" t="n">
        <v>0.05</v>
      </c>
      <c r="C6" s="5" t="inlineStr">
        <is>
          <t>per year</t>
        </is>
      </c>
      <c r="D6" s="6" t="inlineStr">
        <is>
          <t>Additional departments onboarded after launch.</t>
        </is>
      </c>
    </row>
    <row r="7">
      <c r="A7" s="5" t="inlineStr">
        <is>
          <t>Blended support labor rate</t>
        </is>
      </c>
      <c r="B7" s="8" t="n">
        <v>32</v>
      </c>
      <c r="C7" s="5" t="inlineStr">
        <is>
          <t>$/hour</t>
        </is>
      </c>
      <c r="D7" s="6" t="inlineStr">
        <is>
          <t>Tier 1 student assistants near $22 loaded and Tier 2 staff near $48 loaded, weighted by ticket mix.</t>
        </is>
      </c>
    </row>
    <row r="8">
      <c r="A8" s="5" t="inlineStr">
        <is>
          <t>Minutes saved per ticket</t>
        </is>
      </c>
      <c r="B8" s="5" t="n">
        <v>10</v>
      </c>
      <c r="C8" s="5" t="inlineStr">
        <is>
          <t>minutes</t>
        </is>
      </c>
      <c r="D8" s="6" t="inlineStr">
        <is>
          <t>Six minutes of screenshot back-and-forth removed by structured intake, plus four minutes of manual triage removed by routing.</t>
        </is>
      </c>
    </row>
    <row r="9">
      <c r="A9" s="5" t="inlineStr">
        <is>
          <t>Tool consolidation savings</t>
        </is>
      </c>
      <c r="B9" s="8" t="n">
        <v>12000</v>
      </c>
      <c r="C9" s="5" t="inlineStr">
        <is>
          <t>$/year</t>
        </is>
      </c>
      <c r="D9" s="6" t="inlineStr">
        <is>
          <t>Three departmental trackers retired.</t>
        </is>
      </c>
    </row>
    <row r="10">
      <c r="A10" s="5" t="inlineStr">
        <is>
          <t>Engineering effort</t>
        </is>
      </c>
      <c r="B10" s="5" t="n">
        <v>38</v>
      </c>
      <c r="C10" s="5" t="inlineStr">
        <is>
          <t>person-weeks</t>
        </is>
      </c>
      <c r="D10" s="6" t="inlineStr">
        <is>
          <t>Bottom-up estimate for the production build: SSO, real database, roster sync, reporting, accessibility, hardening.</t>
        </is>
      </c>
    </row>
    <row r="11">
      <c r="A11" s="5" t="inlineStr">
        <is>
          <t>Hours per person-week</t>
        </is>
      </c>
      <c r="B11" s="5" t="n">
        <v>40</v>
      </c>
      <c r="C11" s="5" t="inlineStr">
        <is>
          <t>hours</t>
        </is>
      </c>
      <c r="D11" s="6" t="inlineStr">
        <is>
          <t>Standard.</t>
        </is>
      </c>
    </row>
    <row r="12">
      <c r="A12" s="5" t="inlineStr">
        <is>
          <t>Blended build rate</t>
        </is>
      </c>
      <c r="B12" s="8" t="n">
        <v>88</v>
      </c>
      <c r="C12" s="5" t="inlineStr">
        <is>
          <t>$/hour</t>
        </is>
      </c>
      <c r="D12" s="6" t="inlineStr">
        <is>
          <t>Loaded cost of the delivery team.</t>
        </is>
      </c>
    </row>
    <row r="13">
      <c r="A13" s="5" t="inlineStr">
        <is>
          <t>SSO and roster integration</t>
        </is>
      </c>
      <c r="B13" s="8" t="n">
        <v>12000</v>
      </c>
      <c r="C13" s="5" t="inlineStr">
        <is>
          <t>$ one-time</t>
        </is>
      </c>
      <c r="D13" s="6" t="inlineStr">
        <is>
          <t>Okta/Duo plus the Banner roster sync.</t>
        </is>
      </c>
    </row>
    <row r="14">
      <c r="A14" s="5" t="inlineStr">
        <is>
          <t>Security and accessibility review</t>
        </is>
      </c>
      <c r="B14" s="8" t="n">
        <v>8000</v>
      </c>
      <c r="C14" s="5" t="inlineStr">
        <is>
          <t>$ one-time</t>
        </is>
      </c>
      <c r="D14" s="6" t="inlineStr">
        <is>
          <t>Required before any campus launch.</t>
        </is>
      </c>
    </row>
    <row r="15">
      <c r="A15" s="5" t="inlineStr">
        <is>
          <t>Infrastructure setup</t>
        </is>
      </c>
      <c r="B15" s="8" t="n">
        <v>4000</v>
      </c>
      <c r="C15" s="5" t="inlineStr">
        <is>
          <t>$ one-time</t>
        </is>
      </c>
      <c r="D15" s="6" t="inlineStr">
        <is>
          <t>Managed Postgres, CI, monitoring.</t>
        </is>
      </c>
    </row>
    <row r="16">
      <c r="A16" s="5" t="inlineStr">
        <is>
          <t>Annual run cost</t>
        </is>
      </c>
      <c r="B16" s="8" t="n">
        <v>26000</v>
      </c>
      <c r="C16" s="5" t="inlineStr">
        <is>
          <t>$/year</t>
        </is>
      </c>
      <c r="D16" s="6" t="inlineStr">
        <is>
          <t>Hosting, monitoring, and about 0.25 FTE of maintenance.</t>
        </is>
      </c>
    </row>
    <row r="17">
      <c r="A17" s="5" t="inlineStr">
        <is>
          <t>Approved capital budget</t>
        </is>
      </c>
      <c r="B17" s="8" t="n">
        <v>185000</v>
      </c>
      <c r="C17" s="5" t="inlineStr">
        <is>
          <t>$</t>
        </is>
      </c>
      <c r="D17" s="6" t="inlineStr">
        <is>
          <t>What the CTS Director can approve without a supplemental request.</t>
        </is>
      </c>
    </row>
    <row r="18">
      <c r="A18" s="5" t="inlineStr">
        <is>
          <t>Discount rate</t>
        </is>
      </c>
      <c r="B18" s="7" t="n">
        <v>0.08</v>
      </c>
      <c r="C18" s="5" t="inlineStr">
        <is>
          <t>per year</t>
        </is>
      </c>
      <c r="D18" s="6" t="inlineStr">
        <is>
          <t>The university's stated hurdle rate for internal IT investments.</t>
        </is>
      </c>
    </row>
    <row r="19">
      <c r="A19" s="5" t="inlineStr">
        <is>
          <t>Analysis horizon</t>
        </is>
      </c>
      <c r="B19" s="5" t="n">
        <v>4</v>
      </c>
      <c r="C19" s="5" t="inlineStr">
        <is>
          <t>years</t>
        </is>
      </c>
      <c r="D19" s="6" t="inlineStr">
        <is>
          <t>Assignment minimum.</t>
        </is>
      </c>
    </row>
    <row r="20">
      <c r="A20" s="5" t="inlineStr">
        <is>
          <t>Pilot cost</t>
        </is>
      </c>
      <c r="B20" s="8" t="n">
        <v>46000</v>
      </c>
      <c r="C20" s="5" t="inlineStr">
        <is>
          <t>$</t>
        </is>
      </c>
      <c r="D20" s="6" t="inlineStr">
        <is>
          <t>Eight-week paid pilot in two support categories.</t>
        </is>
      </c>
    </row>
    <row r="21">
      <c r="A21" s="5" t="inlineStr">
        <is>
          <t>Monte Carlo trials</t>
        </is>
      </c>
      <c r="B21" s="5" t="n">
        <v>10000</v>
      </c>
      <c r="C21" s="5" t="inlineStr">
        <is>
          <t>trials</t>
        </is>
      </c>
      <c r="D21" s="6" t="inlineStr">
        <is>
          <t>Assignment minimum is 1,000.</t>
        </is>
      </c>
    </row>
    <row r="22">
      <c r="A22" s="5" t="inlineStr">
        <is>
          <t>Random seed</t>
        </is>
      </c>
      <c r="B22" s="5" t="n">
        <v>165</v>
      </c>
      <c r="C22" s="5" t="inlineStr"/>
      <c r="D22" s="6" t="inlineStr">
        <is>
          <t>Makes every figure reproducible.</t>
        </is>
      </c>
    </row>
    <row r="24">
      <c r="A24" s="3" t="inlineStr">
        <is>
          <t>Adoption ramp (share of volume in the tool)</t>
        </is>
      </c>
    </row>
    <row r="25">
      <c r="A25" t="inlineStr">
        <is>
          <t>Year 1</t>
        </is>
      </c>
      <c r="B25" s="9" t="n">
        <v>0.55</v>
      </c>
    </row>
    <row r="26">
      <c r="A26" t="inlineStr">
        <is>
          <t>Year 2</t>
        </is>
      </c>
      <c r="B26" s="9" t="n">
        <v>0.9</v>
      </c>
    </row>
    <row r="27">
      <c r="A27" t="inlineStr">
        <is>
          <t>Year 3</t>
        </is>
      </c>
      <c r="B27" s="9" t="n">
        <v>1</v>
      </c>
    </row>
    <row r="28">
      <c r="A28" t="inlineStr">
        <is>
          <t>Year 4</t>
        </is>
      </c>
      <c r="B28" s="9"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7"/>
  <sheetViews>
    <sheetView workbookViewId="0">
      <pane ySplit="4" topLeftCell="A5" activePane="bottomLeft" state="frozen"/>
      <selection pane="bottomLeft" activeCell="A1" sqref="A1"/>
    </sheetView>
  </sheetViews>
  <sheetFormatPr baseColWidth="8" defaultRowHeight="15"/>
  <cols>
    <col width="34" customWidth="1" min="1" max="1"/>
    <col width="10" customWidth="1" min="2" max="2"/>
    <col width="10" customWidth="1" min="3" max="3"/>
    <col width="12" customWidth="1" min="4" max="4"/>
    <col width="10" customWidth="1" min="5" max="5"/>
    <col width="12" customWidth="1" min="6" max="6"/>
    <col width="60" customWidth="1" min="7" max="7"/>
  </cols>
  <sheetData>
    <row r="1">
      <c r="A1" s="1" t="inlineStr">
        <is>
          <t>Part C — Weighted Scoring Model</t>
        </is>
      </c>
    </row>
    <row r="2" ht="30" customHeight="1">
      <c r="A2" s="2" t="inlineStr">
        <is>
          <t>Weights total 100 percent. Scores are 1-10. The weighted columns are live formulas: weight x score.</t>
        </is>
      </c>
    </row>
    <row r="4" ht="30" customHeight="1">
      <c r="A4" s="4" t="inlineStr">
        <is>
          <t>Criterion</t>
        </is>
      </c>
      <c r="B4" s="4" t="inlineStr">
        <is>
          <t>Weight</t>
        </is>
      </c>
      <c r="C4" s="4" t="inlineStr">
        <is>
          <t>A score</t>
        </is>
      </c>
      <c r="D4" s="4" t="inlineStr">
        <is>
          <t>A weighted</t>
        </is>
      </c>
      <c r="E4" s="4" t="inlineStr">
        <is>
          <t>B score</t>
        </is>
      </c>
      <c r="F4" s="4" t="inlineStr">
        <is>
          <t>B weighted</t>
        </is>
      </c>
      <c r="G4" s="4" t="inlineStr">
        <is>
          <t>Why this criterion carries this weight</t>
        </is>
      </c>
    </row>
    <row r="5">
      <c r="A5" s="5" t="inlineStr">
        <is>
          <t>Strategic alignment</t>
        </is>
      </c>
      <c r="B5" s="7" t="n">
        <v>0.25</v>
      </c>
      <c r="C5" s="5" t="n">
        <v>9</v>
      </c>
      <c r="D5" s="10">
        <f>B5*C5</f>
        <v/>
      </c>
      <c r="E5" s="5" t="n">
        <v>6</v>
      </c>
      <c r="F5" s="10">
        <f>B5*E5</f>
        <v/>
      </c>
      <c r="G5" s="6" t="inlineStr">
        <is>
          <t>How directly the project advances the CTS goal of measurable service quality. Weighted highest because the division is funded against that goal.</t>
        </is>
      </c>
    </row>
    <row r="6">
      <c r="A6" s="5" t="inlineStr">
        <is>
          <t>Expected financial return</t>
        </is>
      </c>
      <c r="B6" s="7" t="n">
        <v>0.2</v>
      </c>
      <c r="C6" s="5" t="n">
        <v>8</v>
      </c>
      <c r="D6" s="10">
        <f>B6*C6</f>
        <v/>
      </c>
      <c r="E6" s="5" t="n">
        <v>7</v>
      </c>
      <c r="F6" s="10">
        <f>B6*E6</f>
        <v/>
      </c>
      <c r="G6" s="6" t="inlineStr">
        <is>
          <t>Four-year NPV and the size of the recurring saving.</t>
        </is>
      </c>
    </row>
    <row r="7">
      <c r="A7" s="5" t="inlineStr">
        <is>
          <t>Time to first value</t>
        </is>
      </c>
      <c r="B7" s="7" t="n">
        <v>0.15</v>
      </c>
      <c r="C7" s="5" t="n">
        <v>9</v>
      </c>
      <c r="D7" s="10">
        <f>B7*C7</f>
        <v/>
      </c>
      <c r="E7" s="5" t="n">
        <v>5</v>
      </c>
      <c r="F7" s="10">
        <f>B7*E7</f>
        <v/>
      </c>
      <c r="G7" s="6" t="inlineStr">
        <is>
          <t>How quickly a usable slice reaches real users. The division needs a win inside one academic year.</t>
        </is>
      </c>
    </row>
    <row r="8">
      <c r="A8" s="5" t="inlineStr">
        <is>
          <t>Delivery and technical risk</t>
        </is>
      </c>
      <c r="B8" s="7" t="n">
        <v>0.15</v>
      </c>
      <c r="C8" s="5" t="n">
        <v>7</v>
      </c>
      <c r="D8" s="10">
        <f>B8*C8</f>
        <v/>
      </c>
      <c r="E8" s="5" t="n">
        <v>6</v>
      </c>
      <c r="F8" s="10">
        <f>B8*E8</f>
        <v/>
      </c>
      <c r="G8" s="6" t="inlineStr">
        <is>
          <t>Scored inversely: a higher score means lower risk.</t>
        </is>
      </c>
    </row>
    <row r="9">
      <c r="A9" s="5" t="inlineStr">
        <is>
          <t>Stakeholder demand and sponsorship</t>
        </is>
      </c>
      <c r="B9" s="7" t="n">
        <v>0.15</v>
      </c>
      <c r="C9" s="5" t="n">
        <v>9</v>
      </c>
      <c r="D9" s="10">
        <f>B9*C9</f>
        <v/>
      </c>
      <c r="E9" s="5" t="n">
        <v>6</v>
      </c>
      <c r="F9" s="10">
        <f>B9*E9</f>
        <v/>
      </c>
      <c r="G9" s="6" t="inlineStr">
        <is>
          <t>Strength of the pull from departments and the presence of an executive sponsor.</t>
        </is>
      </c>
    </row>
    <row r="10">
      <c r="A10" s="5" t="inlineStr">
        <is>
          <t>Staffing feasibility</t>
        </is>
      </c>
      <c r="B10" s="7" t="n">
        <v>0.1</v>
      </c>
      <c r="C10" s="5" t="n">
        <v>8</v>
      </c>
      <c r="D10" s="10">
        <f>B10*C10</f>
        <v/>
      </c>
      <c r="E10" s="5" t="n">
        <v>5</v>
      </c>
      <c r="F10" s="10">
        <f>B10*E10</f>
        <v/>
      </c>
      <c r="G10" s="6" t="inlineStr">
        <is>
          <t>Whether the current team can build it without new headcount.</t>
        </is>
      </c>
    </row>
    <row r="11">
      <c r="A11" s="3" t="inlineStr">
        <is>
          <t>TOTAL</t>
        </is>
      </c>
      <c r="B11" s="11">
        <f>SUM(B5:B10)</f>
        <v/>
      </c>
      <c r="D11" s="12">
        <f>SUM(D5:D10)</f>
        <v/>
      </c>
      <c r="F11" s="12">
        <f>SUM(F5:F10)</f>
        <v/>
      </c>
    </row>
    <row r="13">
      <c r="A13" s="3" t="inlineStr">
        <is>
          <t>Project A</t>
        </is>
      </c>
      <c r="B13" t="inlineStr">
        <is>
          <t>Project A — HelpDesk165 ticketing and SLA reporting</t>
        </is>
      </c>
    </row>
    <row r="14">
      <c r="A14" s="3" t="inlineStr">
        <is>
          <t>Project B</t>
        </is>
      </c>
      <c r="B14" t="inlineStr">
        <is>
          <t>Project B — Campus room and equipment booking portal</t>
        </is>
      </c>
    </row>
    <row r="15">
      <c r="A15" s="3" t="inlineStr">
        <is>
          <t>Margin</t>
        </is>
      </c>
      <c r="B15" s="13">
        <f>D11-F11</f>
        <v/>
      </c>
    </row>
    <row r="16">
      <c r="A16" s="3" t="inlineStr">
        <is>
          <t>Decision</t>
        </is>
      </c>
      <c r="B16" t="inlineStr">
        <is>
          <t>Fund Project A — HelpDesk165 ticketing and SLA reporting</t>
        </is>
      </c>
    </row>
    <row r="17">
      <c r="A17" s="14" t="inlineStr">
        <is>
          <t>Sensitivity: no single criterion weight between 0 and 100 percent reverses this result. See analysis/weighted_scoring.py.</t>
        </is>
      </c>
    </row>
  </sheetData>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J21"/>
  <sheetViews>
    <sheetView workbookViewId="0">
      <pane ySplit="7" topLeftCell="A8" activePane="bottomLeft" state="frozen"/>
      <selection pane="bottomLeft" activeCell="A1" sqref="A1"/>
    </sheetView>
  </sheetViews>
  <sheetFormatPr baseColWidth="8" defaultRowHeight="15"/>
  <cols>
    <col width="26" customWidth="1" min="1" max="1"/>
    <col width="14" customWidth="1" min="2" max="2"/>
    <col width="11" customWidth="1" min="3" max="3"/>
    <col width="15" customWidth="1" min="4" max="4"/>
    <col width="13" customWidth="1" min="5" max="5"/>
    <col width="15" customWidth="1" min="6" max="6"/>
    <col width="12" customWidth="1" min="7" max="7"/>
    <col width="15" customWidth="1" min="8" max="8"/>
    <col width="15" customWidth="1" min="9" max="9"/>
    <col width="15" customWidth="1" min="10" max="10"/>
  </cols>
  <sheetData>
    <row r="1">
      <c r="A1" s="1" t="inlineStr">
        <is>
          <t>Part D — Net Present Value</t>
        </is>
      </c>
    </row>
    <row r="2" ht="30" customHeight="1">
      <c r="A2" s="2" t="inlineStr">
        <is>
          <t>NPV = -C0 + sum over t of Bt / (1 + r)^t. Discount factors, present values, and the NPV total are live formulas.</t>
        </is>
      </c>
    </row>
    <row r="4">
      <c r="A4" s="3" t="inlineStr">
        <is>
          <t>Discount rate (r)</t>
        </is>
      </c>
      <c r="B4" s="9" t="n">
        <v>0.08</v>
      </c>
    </row>
    <row r="5">
      <c r="A5" s="3" t="inlineStr">
        <is>
          <t>Initial development cost (C0)</t>
        </is>
      </c>
      <c r="B5" s="15" t="n">
        <v>157760</v>
      </c>
    </row>
    <row r="7" ht="30" customHeight="1">
      <c r="A7" s="4" t="inlineStr">
        <is>
          <t>Year</t>
        </is>
      </c>
      <c r="B7" s="4" t="inlineStr">
        <is>
          <t>Ticket volume</t>
        </is>
      </c>
      <c r="C7" s="4" t="inlineStr">
        <is>
          <t>Adoption</t>
        </is>
      </c>
      <c r="D7" s="4" t="inlineStr">
        <is>
          <t>Labor savings</t>
        </is>
      </c>
      <c r="E7" s="4" t="inlineStr">
        <is>
          <t>Tool savings</t>
        </is>
      </c>
      <c r="F7" s="4" t="inlineStr">
        <is>
          <t>Gross benefit</t>
        </is>
      </c>
      <c r="G7" s="4" t="inlineStr">
        <is>
          <t>Run cost</t>
        </is>
      </c>
      <c r="H7" s="4" t="inlineStr">
        <is>
          <t>Net cash flow</t>
        </is>
      </c>
      <c r="I7" s="4" t="inlineStr">
        <is>
          <t>Discount factor</t>
        </is>
      </c>
      <c r="J7" s="4" t="inlineStr">
        <is>
          <t>Present value</t>
        </is>
      </c>
    </row>
    <row r="8">
      <c r="A8" s="5" t="n">
        <v>1</v>
      </c>
      <c r="B8" s="5" t="n">
        <v>24000</v>
      </c>
      <c r="C8" s="7" t="n">
        <v>0.55</v>
      </c>
      <c r="D8" s="8" t="n">
        <v>70400</v>
      </c>
      <c r="E8" s="8" t="n">
        <v>6600</v>
      </c>
      <c r="F8" s="16">
        <f>D8+E8</f>
        <v/>
      </c>
      <c r="G8" s="8" t="n">
        <v>-26000</v>
      </c>
      <c r="H8" s="16">
        <f>F8+G8</f>
        <v/>
      </c>
      <c r="I8" s="17">
        <f>ROUND(1/(1+$B$4)^A8,5)</f>
        <v/>
      </c>
      <c r="J8" s="16">
        <f>H8*I8</f>
        <v/>
      </c>
    </row>
    <row r="9">
      <c r="A9" s="5" t="n">
        <v>2</v>
      </c>
      <c r="B9" s="5" t="n">
        <v>25200</v>
      </c>
      <c r="C9" s="7" t="n">
        <v>0.9</v>
      </c>
      <c r="D9" s="8" t="n">
        <v>120960</v>
      </c>
      <c r="E9" s="8" t="n">
        <v>10800</v>
      </c>
      <c r="F9" s="16">
        <f>D9+E9</f>
        <v/>
      </c>
      <c r="G9" s="8" t="n">
        <v>-26000</v>
      </c>
      <c r="H9" s="16">
        <f>F9+G9</f>
        <v/>
      </c>
      <c r="I9" s="17">
        <f>ROUND(1/(1+$B$4)^A9,5)</f>
        <v/>
      </c>
      <c r="J9" s="16">
        <f>H9*I9</f>
        <v/>
      </c>
    </row>
    <row r="10">
      <c r="A10" s="5" t="n">
        <v>3</v>
      </c>
      <c r="B10" s="5" t="n">
        <v>26460</v>
      </c>
      <c r="C10" s="7" t="n">
        <v>1</v>
      </c>
      <c r="D10" s="8" t="n">
        <v>141120</v>
      </c>
      <c r="E10" s="8" t="n">
        <v>12000</v>
      </c>
      <c r="F10" s="16">
        <f>D10+E10</f>
        <v/>
      </c>
      <c r="G10" s="8" t="n">
        <v>-26000</v>
      </c>
      <c r="H10" s="16">
        <f>F10+G10</f>
        <v/>
      </c>
      <c r="I10" s="17">
        <f>ROUND(1/(1+$B$4)^A10,5)</f>
        <v/>
      </c>
      <c r="J10" s="16">
        <f>H10*I10</f>
        <v/>
      </c>
    </row>
    <row r="11">
      <c r="A11" s="5" t="n">
        <v>4</v>
      </c>
      <c r="B11" s="5" t="n">
        <v>27783</v>
      </c>
      <c r="C11" s="7" t="n">
        <v>1</v>
      </c>
      <c r="D11" s="8" t="n">
        <v>148176</v>
      </c>
      <c r="E11" s="8" t="n">
        <v>12000</v>
      </c>
      <c r="F11" s="16">
        <f>D11+E11</f>
        <v/>
      </c>
      <c r="G11" s="8" t="n">
        <v>-26000</v>
      </c>
      <c r="H11" s="16">
        <f>F11+G11</f>
        <v/>
      </c>
      <c r="I11" s="17">
        <f>ROUND(1/(1+$B$4)^A11,5)</f>
        <v/>
      </c>
      <c r="J11" s="16">
        <f>H11*I11</f>
        <v/>
      </c>
    </row>
    <row r="12">
      <c r="A12" s="3" t="inlineStr">
        <is>
          <t>Sum of present values</t>
        </is>
      </c>
      <c r="J12" s="18">
        <f>SUM(J8:J11)</f>
        <v/>
      </c>
    </row>
    <row r="13">
      <c r="A13" s="3" t="inlineStr">
        <is>
          <t>Less initial cost</t>
        </is>
      </c>
      <c r="J13" s="19">
        <f>-$B$5</f>
        <v/>
      </c>
    </row>
    <row r="14">
      <c r="A14" s="3" t="inlineStr">
        <is>
          <t>NET PRESENT VALUE</t>
        </is>
      </c>
      <c r="J14" s="20">
        <f>J12-$B$5</f>
        <v/>
      </c>
    </row>
    <row r="16">
      <c r="A16" s="3" t="inlineStr">
        <is>
          <t>ROI on invested capital</t>
        </is>
      </c>
      <c r="B16" s="21">
        <f>J14/$B$5</f>
        <v/>
      </c>
    </row>
    <row r="17">
      <c r="A17" s="3" t="inlineStr">
        <is>
          <t>IRR</t>
        </is>
      </c>
      <c r="B17" s="9" t="n">
        <v>0.44911</v>
      </c>
    </row>
    <row r="18">
      <c r="A18" s="3" t="inlineStr">
        <is>
          <t>Simple payback</t>
        </is>
      </c>
      <c r="B18" t="inlineStr">
        <is>
          <t>Year 3</t>
        </is>
      </c>
    </row>
    <row r="19">
      <c r="A19" s="3" t="inlineStr">
        <is>
          <t>Discounted payback</t>
        </is>
      </c>
      <c r="B19" t="inlineStr">
        <is>
          <t>Year 3</t>
        </is>
      </c>
    </row>
    <row r="21">
      <c r="A21" s="14" t="inlineStr">
        <is>
          <t>Benefits are scaled by the adoption ramp because a tool nobody uses saves nothing. The run cost is charged in full from year one because hosting does not wait for adoption. Part J shows why this positive NPV is not sufficient grounds to fund the full build.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20"/>
  <sheetViews>
    <sheetView workbookViewId="0">
      <pane ySplit="17" topLeftCell="A18" activePane="bottomLeft" state="frozen"/>
      <selection pane="bottomLeft" activeCell="A1" sqref="A1"/>
    </sheetView>
  </sheetViews>
  <sheetFormatPr baseColWidth="8" defaultRowHeight="15"/>
  <cols>
    <col width="7" customWidth="1" min="1" max="1"/>
    <col width="24" customWidth="1" min="2" max="2"/>
    <col width="52" customWidth="1" min="3" max="3"/>
    <col width="9" customWidth="1" min="4" max="4"/>
    <col width="9" customWidth="1" min="5" max="5"/>
    <col width="8" customWidth="1" min="6" max="6"/>
    <col width="11" customWidth="1" min="7" max="7"/>
    <col width="12" customWidth="1" min="8" max="8"/>
    <col width="14" customWidth="1" min="9" max="9"/>
    <col width="13" customWidth="1" min="10" max="10"/>
    <col width="48" customWidth="1" min="11" max="11"/>
  </cols>
  <sheetData>
    <row r="1">
      <c r="A1" s="1" t="inlineStr">
        <is>
          <t>Part H — Risk Register</t>
        </is>
      </c>
    </row>
    <row r="2" ht="30" customHeight="1">
      <c r="A2" s="2" t="inlineStr">
        <is>
          <t>Two scores per risk. Probability x Impact on a 1-5 scale drives the heat map; probability x dollar impact drives the budget. Ranked on exposure.</t>
        </is>
      </c>
    </row>
    <row r="4" ht="30" customHeight="1">
      <c r="A4" s="4" t="inlineStr">
        <is>
          <t>ID</t>
        </is>
      </c>
      <c r="B4" s="4" t="inlineStr">
        <is>
          <t>Category</t>
        </is>
      </c>
      <c r="C4" s="4" t="inlineStr">
        <is>
          <t>Risk</t>
        </is>
      </c>
      <c r="D4" s="4" t="inlineStr">
        <is>
          <t>P (1-5)</t>
        </is>
      </c>
      <c r="E4" s="4" t="inlineStr">
        <is>
          <t>I (1-5)</t>
        </is>
      </c>
      <c r="F4" s="4" t="inlineStr">
        <is>
          <t>P x I</t>
        </is>
      </c>
      <c r="G4" s="4" t="inlineStr">
        <is>
          <t>Band</t>
        </is>
      </c>
      <c r="H4" s="4" t="inlineStr">
        <is>
          <t>Probability</t>
        </is>
      </c>
      <c r="I4" s="4" t="inlineStr">
        <is>
          <t>Dollar impact</t>
        </is>
      </c>
      <c r="J4" s="4" t="inlineStr">
        <is>
          <t>Exposure</t>
        </is>
      </c>
      <c r="K4" s="4" t="inlineStr">
        <is>
          <t>Early warning trigger</t>
        </is>
      </c>
    </row>
    <row r="5" ht="46" customHeight="1">
      <c r="A5" s="5" t="inlineStr">
        <is>
          <t>R3</t>
        </is>
      </c>
      <c r="B5" s="5" t="inlineStr">
        <is>
          <t>Organizational / Adoption</t>
        </is>
      </c>
      <c r="C5" s="6" t="inlineStr">
        <is>
          <t>Departments keep using the shared inbox and spreadsheets, so the labor savings that justify the whole business case never materialize.</t>
        </is>
      </c>
      <c r="D5" s="5" t="n">
        <v>3</v>
      </c>
      <c r="E5" s="5" t="n">
        <v>5</v>
      </c>
      <c r="F5" s="22">
        <f>D5*E5</f>
        <v/>
      </c>
      <c r="G5" s="5" t="inlineStr">
        <is>
          <t>Critical</t>
        </is>
      </c>
      <c r="H5" s="7" t="n">
        <v>0.3</v>
      </c>
      <c r="I5" s="8" t="n">
        <v>95000</v>
      </c>
      <c r="J5" s="16">
        <f>H5*I5</f>
        <v/>
      </c>
      <c r="K5" s="6" t="inlineStr">
        <is>
          <t>Fewer than 60 percent of a pilot department's requests arrive through the tool after four weeks.</t>
        </is>
      </c>
    </row>
    <row r="6" ht="46" customHeight="1">
      <c r="A6" s="5" t="inlineStr">
        <is>
          <t>R2</t>
        </is>
      </c>
      <c r="B6" s="5" t="inlineStr">
        <is>
          <t>Schedule / Cost</t>
        </is>
      </c>
      <c r="C6" s="6" t="inlineStr">
        <is>
          <t>Engineering effort is underestimated, pushing the build past the spring registration change freeze and over the approved capital budget.</t>
        </is>
      </c>
      <c r="D6" s="5" t="n">
        <v>5</v>
      </c>
      <c r="E6" s="5" t="n">
        <v>4</v>
      </c>
      <c r="F6" s="22">
        <f>D6*E6</f>
        <v/>
      </c>
      <c r="G6" s="5" t="inlineStr">
        <is>
          <t>Critical</t>
        </is>
      </c>
      <c r="H6" s="7" t="n">
        <v>0.45</v>
      </c>
      <c r="I6" s="8" t="n">
        <v>42000</v>
      </c>
      <c r="J6" s="16">
        <f>H6*I6</f>
        <v/>
      </c>
      <c r="K6" s="6" t="inlineStr">
        <is>
          <t>Two consecutive sprints close below 70 percent of committed points.</t>
        </is>
      </c>
    </row>
    <row r="7" ht="46" customHeight="1">
      <c r="A7" s="5" t="inlineStr">
        <is>
          <t>R5</t>
        </is>
      </c>
      <c r="B7" s="5" t="inlineStr">
        <is>
          <t>Security / Compliance</t>
        </is>
      </c>
      <c r="C7" s="6" t="inlineStr">
        <is>
          <t>Ticket descriptions contain FERPA-protected student information while the prototype has no access control, creating a disclosure exposure and a failed pre-launch security review.</t>
        </is>
      </c>
      <c r="D7" s="5" t="n">
        <v>3</v>
      </c>
      <c r="E7" s="5" t="n">
        <v>5</v>
      </c>
      <c r="F7" s="22">
        <f>D7*E7</f>
        <v/>
      </c>
      <c r="G7" s="5" t="inlineStr">
        <is>
          <t>Critical</t>
        </is>
      </c>
      <c r="H7" s="7" t="n">
        <v>0.25</v>
      </c>
      <c r="I7" s="8" t="n">
        <v>60000</v>
      </c>
      <c r="J7" s="16">
        <f>H7*I7</f>
        <v/>
      </c>
      <c r="K7" s="6" t="inlineStr">
        <is>
          <t>Any ticket body containing a student ID is readable by an account without a demonstrated need to know.</t>
        </is>
      </c>
    </row>
    <row r="8" ht="46" customHeight="1">
      <c r="A8" s="5" t="inlineStr">
        <is>
          <t>R7</t>
        </is>
      </c>
      <c r="B8" s="5" t="inlineStr">
        <is>
          <t>Scope</t>
        </is>
      </c>
      <c r="C8" s="6" t="inlineStr">
        <is>
          <t>Stakeholders demand a knowledge base, live chat, and a native mobile app before they will approve launch.</t>
        </is>
      </c>
      <c r="D8" s="5" t="n">
        <v>4</v>
      </c>
      <c r="E8" s="5" t="n">
        <v>3</v>
      </c>
      <c r="F8" s="22">
        <f>D8*E8</f>
        <v/>
      </c>
      <c r="G8" s="5" t="inlineStr">
        <is>
          <t>High</t>
        </is>
      </c>
      <c r="H8" s="7" t="n">
        <v>0.45</v>
      </c>
      <c r="I8" s="8" t="n">
        <v>30000</v>
      </c>
      <c r="J8" s="16">
        <f>H8*I8</f>
        <v/>
      </c>
      <c r="K8" s="6" t="inlineStr">
        <is>
          <t>More than three new must-have features are added in a single steering committee meeting.</t>
        </is>
      </c>
    </row>
    <row r="9" ht="46" customHeight="1">
      <c r="A9" s="5" t="inlineStr">
        <is>
          <t>R1</t>
        </is>
      </c>
      <c r="B9" s="5" t="inlineStr">
        <is>
          <t>Technical</t>
        </is>
      </c>
      <c r="C9" s="6" t="inlineStr">
        <is>
          <t>Okta/Duo single sign-on and the Banner roster sync take substantially longer than estimated because campus identity APIs are undocumented.</t>
        </is>
      </c>
      <c r="D9" s="5" t="n">
        <v>4</v>
      </c>
      <c r="E9" s="5" t="n">
        <v>4</v>
      </c>
      <c r="F9" s="22">
        <f>D9*E9</f>
        <v/>
      </c>
      <c r="G9" s="5" t="inlineStr">
        <is>
          <t>Critical</t>
        </is>
      </c>
      <c r="H9" s="7" t="n">
        <v>0.35</v>
      </c>
      <c r="I9" s="8" t="n">
        <v>34000</v>
      </c>
      <c r="J9" s="16">
        <f>H9*I9</f>
        <v/>
      </c>
      <c r="K9" s="6" t="inlineStr">
        <is>
          <t>Integration spike runs past its two-week timebox without a working token exchange.</t>
        </is>
      </c>
    </row>
    <row r="10" ht="46" customHeight="1">
      <c r="A10" s="5" t="inlineStr">
        <is>
          <t>R4</t>
        </is>
      </c>
      <c r="B10" s="5" t="inlineStr">
        <is>
          <t>People / Key person</t>
        </is>
      </c>
      <c r="C10" s="6" t="inlineStr">
        <is>
          <t>Only one engineer understands the SLA and reporting logic, so any absence stops that work entirely.</t>
        </is>
      </c>
      <c r="D10" s="5" t="n">
        <v>3</v>
      </c>
      <c r="E10" s="5" t="n">
        <v>4</v>
      </c>
      <c r="F10" s="22">
        <f>D10*E10</f>
        <v/>
      </c>
      <c r="G10" s="5" t="inlineStr">
        <is>
          <t>High</t>
        </is>
      </c>
      <c r="H10" s="7" t="n">
        <v>0.3</v>
      </c>
      <c r="I10" s="8" t="n">
        <v>22000</v>
      </c>
      <c r="J10" s="16">
        <f>H10*I10</f>
        <v/>
      </c>
      <c r="K10" s="6" t="inlineStr">
        <is>
          <t>More than 60 percent of commits to the SLA and reporting modules come from a single author.</t>
        </is>
      </c>
    </row>
    <row r="11" ht="46" customHeight="1">
      <c r="A11" s="5" t="inlineStr">
        <is>
          <t>R8</t>
        </is>
      </c>
      <c r="B11" s="5" t="inlineStr">
        <is>
          <t>Quality</t>
        </is>
      </c>
      <c r="C11" s="6" t="inlineStr">
        <is>
          <t>SLA and breach calculations go untested, management catches an incorrect number in a service review, and trust in the reporting is lost.</t>
        </is>
      </c>
      <c r="D11" s="5" t="n">
        <v>3</v>
      </c>
      <c r="E11" s="5" t="n">
        <v>4</v>
      </c>
      <c r="F11" s="22">
        <f>D11*E11</f>
        <v/>
      </c>
      <c r="G11" s="5" t="inlineStr">
        <is>
          <t>High</t>
        </is>
      </c>
      <c r="H11" s="7" t="n">
        <v>0.3</v>
      </c>
      <c r="I11" s="8" t="n">
        <v>20000</v>
      </c>
      <c r="J11" s="16">
        <f>H11*I11</f>
        <v/>
      </c>
      <c r="K11" s="6" t="inlineStr">
        <is>
          <t>A stakeholder disputes a dashboard figure that the team cannot trace back to individual tickets.</t>
        </is>
      </c>
    </row>
    <row r="12" ht="46" customHeight="1">
      <c r="A12" s="5" t="inlineStr">
        <is>
          <t>R9</t>
        </is>
      </c>
      <c r="B12" s="5" t="inlineStr">
        <is>
          <t>Operational / Architecture</t>
        </is>
      </c>
      <c r="C12" s="6" t="inlineStr">
        <is>
          <t>The prototype's single-file SQLite database does not survive concurrent campus-wide use and has to be migrated mid-project.</t>
        </is>
      </c>
      <c r="D12" s="5" t="n">
        <v>3</v>
      </c>
      <c r="E12" s="5" t="n">
        <v>3</v>
      </c>
      <c r="F12" s="22">
        <f>D12*E12</f>
        <v/>
      </c>
      <c r="G12" s="5" t="inlineStr">
        <is>
          <t>Moderate</t>
        </is>
      </c>
      <c r="H12" s="7" t="n">
        <v>0.3</v>
      </c>
      <c r="I12" s="8" t="n">
        <v>16000</v>
      </c>
      <c r="J12" s="16">
        <f>H12*I12</f>
        <v/>
      </c>
      <c r="K12" s="6" t="inlineStr">
        <is>
          <t>Database lock errors appear in logs once more than about 20 agents work the queue at once.</t>
        </is>
      </c>
    </row>
    <row r="13" ht="46" customHeight="1">
      <c r="A13" s="5" t="inlineStr">
        <is>
          <t>R6</t>
        </is>
      </c>
      <c r="B13" s="5" t="inlineStr">
        <is>
          <t>External / Vendor</t>
        </is>
      </c>
      <c r="C13" s="6" t="inlineStr">
        <is>
          <t>Canvas and Banner API changes during the summer upgrade window break the roster and course sync.</t>
        </is>
      </c>
      <c r="D13" s="5" t="n">
        <v>2</v>
      </c>
      <c r="E13" s="5" t="n">
        <v>4</v>
      </c>
      <c r="F13" s="22">
        <f>D13*E13</f>
        <v/>
      </c>
      <c r="G13" s="5" t="inlineStr">
        <is>
          <t>Moderate</t>
        </is>
      </c>
      <c r="H13" s="7" t="n">
        <v>0.2</v>
      </c>
      <c r="I13" s="8" t="n">
        <v>18000</v>
      </c>
      <c r="J13" s="16">
        <f>H13*I13</f>
        <v/>
      </c>
      <c r="K13" s="6" t="inlineStr">
        <is>
          <t>Vendor release notes announce a breaking change to an endpoint the integration depends on.</t>
        </is>
      </c>
    </row>
    <row r="14">
      <c r="C14" s="3" t="inlineStr">
        <is>
          <t>Total expected exposure</t>
        </is>
      </c>
      <c r="J14" s="18">
        <f>SUM(J5:J13)</f>
        <v/>
      </c>
    </row>
    <row r="16">
      <c r="A16" s="1" t="inlineStr">
        <is>
          <t>Part K — response for the three highest exposures</t>
        </is>
      </c>
    </row>
    <row r="17" ht="30" customHeight="1">
      <c r="A17" s="4" t="inlineStr">
        <is>
          <t>ID</t>
        </is>
      </c>
      <c r="B17" s="4" t="inlineStr">
        <is>
          <t>Strategy</t>
        </is>
      </c>
      <c r="C17" s="4" t="inlineStr">
        <is>
          <t>Mitigation</t>
        </is>
      </c>
      <c r="D17" s="4" t="inlineStr">
        <is>
          <t>Contingency</t>
        </is>
      </c>
      <c r="E17" s="4" t="inlineStr">
        <is>
          <t>Early warning</t>
        </is>
      </c>
    </row>
    <row r="18" ht="116" customHeight="1">
      <c r="A18" t="inlineStr">
        <is>
          <t>R3</t>
        </is>
      </c>
      <c r="B18" s="6" t="inlineStr">
        <is>
          <t>Mitigate, then transfer the decision to a gate</t>
        </is>
      </c>
      <c r="C18" s="6" t="inlineStr">
        <is>
          <t>Do not build campus-wide first. Run the eight-week paid pilot in Classroom Technology and Canvas support, close the shared inbox for those two categories so the tool is the only intake path, and publish the SLA dashboard to the department's own leadership so they see the benefit in their own numbers. Name a department champion who is accountable for intake share, not the project team.</t>
        </is>
      </c>
      <c r="D18" s="6" t="inlineStr">
        <is>
          <t>If intake share is still under 60 percent at week four, stop feature work and spend the remaining pilot weeks on the adoption blocker instead. If it is still under 60 percent at week eight, invoke the decision-tree stop branch: the full build is not funded and CTS loses the pilot cost rather than the build cost.</t>
        </is>
      </c>
      <c r="E18" s="6" t="inlineStr">
        <is>
          <t>Weekly intake share for the pilot categories, measured as tickets created in HelpDesk165 divided by total requests including those still arriving by email and walk-up.</t>
        </is>
      </c>
    </row>
    <row r="19" ht="116" customHeight="1">
      <c r="A19" t="inlineStr">
        <is>
          <t>R2</t>
        </is>
      </c>
      <c r="B19" s="6" t="inlineStr">
        <is>
          <t>Mitigate through scope control and reserve sizing</t>
        </is>
      </c>
      <c r="C19" s="6" t="inlineStr">
        <is>
          <t>Budget to the simulation's 80th-percentile cost rather than the point estimate, timebox the SSO integration spike to two weeks, and fix the launch scope in writing at the four features the pilot validated. Track sprint velocity from sprint one so the trend is visible before it becomes a slip.</t>
        </is>
      </c>
      <c r="D19" s="6" t="inlineStr">
        <is>
          <t>Hold a pre-approved contingency drawdown the CTS director can release without a new funding request. If velocity misses twice, cut the roster-sync integration to a nightly CSV import, which the team estimated at one week instead of five.</t>
        </is>
      </c>
      <c r="E19" s="6" t="inlineStr">
        <is>
          <t>Two consecutive sprints closing below 70 percent of committed points, or the integration spike passing its timebox without a working token exchange.</t>
        </is>
      </c>
    </row>
    <row r="20" ht="116" customHeight="1">
      <c r="A20" t="inlineStr">
        <is>
          <t>R5</t>
        </is>
      </c>
      <c r="B20" s="6" t="inlineStr">
        <is>
          <t>Avoid the exposure rather than manage it</t>
        </is>
      </c>
      <c r="C20" s="6" t="inlineStr">
        <is>
          <t>Treat FERPA as a design constraint, not a launch checklist item. Ship role-based access control before the pilot handles a single real ticket, restrict ticket visibility to the requester plus assigned agents, and put a standing notice on the intake form telling requesters not to paste student IDs or grades. Book the campus security review at project start instead of before launch.</t>
        </is>
      </c>
      <c r="D20" s="6" t="inlineStr">
        <is>
          <t>If the security review finds a defect, the pilot pauses and the affected tickets are purged and re-created without the sensitive field. A documented incident-response path to the campus privacy officer exists before the pilot opens, not after an incident.</t>
        </is>
      </c>
      <c r="E20" s="6" t="inlineStr">
        <is>
          <t>Any automated scan hit for a nine-digit student ID pattern in a ticket body, or any access-log entry showing a ticket read by an account that is neither the requester nor the assignee.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0"/>
  <sheetViews>
    <sheetView workbookViewId="0">
      <pane ySplit="15" topLeftCell="A16" activePane="bottomLeft" state="frozen"/>
      <selection pane="bottomLeft" activeCell="A1" sqref="A1"/>
    </sheetView>
  </sheetViews>
  <sheetFormatPr baseColWidth="8" defaultRowHeight="15"/>
  <cols>
    <col width="34" customWidth="1" min="1" max="1"/>
    <col width="34" customWidth="1" min="2" max="2"/>
    <col width="12" customWidth="1" min="3" max="3"/>
    <col width="16" customWidth="1" min="4" max="4"/>
    <col width="14" customWidth="1" min="5" max="5"/>
    <col width="14" customWidth="1" min="6" max="6"/>
    <col width="52" customWidth="1" min="7" max="7"/>
  </cols>
  <sheetData>
    <row r="1">
      <c r="A1" s="1" t="inlineStr">
        <is>
          <t>Part I — Decision Tree and Expected Monetary Value</t>
        </is>
      </c>
    </row>
    <row r="2" ht="30" customHeight="1">
      <c r="A2" s="2" t="inlineStr">
        <is>
          <t>Decision: How should CTS fund the production version of HelpDesk165: build it outright now, license a commercial IT service-management product, or fund a small paid pilot first and decide afterwards? EMV = sum of probability x value. The contribution and EMV columns are live formulas.</t>
        </is>
      </c>
    </row>
    <row r="4" ht="30" customHeight="1">
      <c r="A4" s="4" t="inlineStr">
        <is>
          <t>Decision</t>
        </is>
      </c>
      <c r="B4" s="4" t="inlineStr">
        <is>
          <t>Outcome</t>
        </is>
      </c>
      <c r="C4" s="4" t="inlineStr">
        <is>
          <t>Probability</t>
        </is>
      </c>
      <c r="D4" s="4" t="inlineStr">
        <is>
          <t>Net value (4 yr)</t>
        </is>
      </c>
      <c r="E4" s="4" t="inlineStr">
        <is>
          <t>P x value</t>
        </is>
      </c>
      <c r="F4" s="4" t="inlineStr">
        <is>
          <t>Branch EMV</t>
        </is>
      </c>
      <c r="G4" s="4" t="inlineStr">
        <is>
          <t>Reasoning</t>
        </is>
      </c>
    </row>
    <row r="5">
      <c r="A5" s="5" t="inlineStr">
        <is>
          <t>Build the full product now</t>
        </is>
      </c>
      <c r="B5" s="5" t="inlineStr">
        <is>
          <t>Campus-wide adoption takes hold</t>
        </is>
      </c>
      <c r="C5" s="7" t="n">
        <v>0.6</v>
      </c>
      <c r="D5" s="8" t="n">
        <v>205000</v>
      </c>
      <c r="E5" s="16">
        <f>C5*D5</f>
        <v/>
      </c>
      <c r="F5" s="23">
        <f>SUM(E5:E6)</f>
        <v/>
      </c>
      <c r="G5" s="6" t="inlineStr">
        <is>
          <t>Four-year net value if departments move their intake onto the tool and the labor savings land as modeled.</t>
        </is>
      </c>
    </row>
    <row r="6">
      <c r="A6" s="5" t="inlineStr">
        <is>
          <t>Build the full product now</t>
        </is>
      </c>
      <c r="B6" s="5" t="inlineStr">
        <is>
          <t>Adoption stalls at a few departments</t>
        </is>
      </c>
      <c r="C6" s="7" t="n">
        <v>0.4</v>
      </c>
      <c r="D6" s="8" t="n">
        <v>-95000</v>
      </c>
      <c r="E6" s="16">
        <f>C6*D6</f>
        <v/>
      </c>
      <c r="F6" s="5" t="n"/>
      <c r="G6" s="6" t="inlineStr">
        <is>
          <t>The build is paid for but most volume stays in the shared inbox, so only a fraction of the savings is realized.</t>
        </is>
      </c>
    </row>
    <row r="8">
      <c r="A8" s="5" t="inlineStr">
        <is>
          <t>License a commercial ITSM product</t>
        </is>
      </c>
      <c r="B8" s="5" t="inlineStr">
        <is>
          <t>Product fits campus processes as sold</t>
        </is>
      </c>
      <c r="C8" s="7" t="n">
        <v>0.55</v>
      </c>
      <c r="D8" s="8" t="n">
        <v>120000</v>
      </c>
      <c r="E8" s="16">
        <f>C8*D8</f>
        <v/>
      </c>
      <c r="F8" s="23">
        <f>SUM(E8:E9)</f>
        <v/>
      </c>
      <c r="G8" s="6" t="inlineStr">
        <is>
          <t>Savings arrive quickly but recurring license fees consume most of them.</t>
        </is>
      </c>
    </row>
    <row r="9">
      <c r="A9" s="5" t="inlineStr">
        <is>
          <t>License a commercial ITSM product</t>
        </is>
      </c>
      <c r="B9" s="5" t="inlineStr">
        <is>
          <t>Heavy customization is required</t>
        </is>
      </c>
      <c r="C9" s="7" t="n">
        <v>0.45</v>
      </c>
      <c r="D9" s="8" t="n">
        <v>15000</v>
      </c>
      <c r="E9" s="16">
        <f>C9*D9</f>
        <v/>
      </c>
      <c r="F9" s="5" t="n"/>
      <c r="G9" s="6" t="inlineStr">
        <is>
          <t>Consultants and workflow rework erode almost all of the benefit.</t>
        </is>
      </c>
    </row>
    <row r="11">
      <c r="A11" s="5" t="inlineStr">
        <is>
          <t>Fund an eight-week paid pilot, then decide</t>
        </is>
      </c>
      <c r="B11" s="5" t="inlineStr">
        <is>
          <t>Pilot validates demand, then build</t>
        </is>
      </c>
      <c r="C11" s="7" t="n">
        <v>0.65</v>
      </c>
      <c r="D11" s="8" t="n">
        <v>176000</v>
      </c>
      <c r="E11" s="16">
        <f>C11*D11</f>
        <v/>
      </c>
      <c r="F11" s="23">
        <f>SUM(E11:E12)</f>
        <v/>
      </c>
      <c r="G11" s="6" t="inlineStr">
        <is>
          <t>Same build as option one, minus the pilot spend and one quarter of delayed benefit, but with adoption de-risked.</t>
        </is>
      </c>
    </row>
    <row r="12">
      <c r="A12" s="5" t="inlineStr">
        <is>
          <t>Fund an eight-week paid pilot, then decide</t>
        </is>
      </c>
      <c r="B12" s="5" t="inlineStr">
        <is>
          <t>Pilot does not validate demand, stop</t>
        </is>
      </c>
      <c r="C12" s="7" t="n">
        <v>0.35</v>
      </c>
      <c r="D12" s="8" t="n">
        <v>-46000</v>
      </c>
      <c r="E12" s="16">
        <f>C12*D12</f>
        <v/>
      </c>
      <c r="F12" s="5" t="n"/>
      <c r="G12" s="6" t="inlineStr">
        <is>
          <t>The pilot cost is lost, but the full build is never funded.</t>
        </is>
      </c>
    </row>
    <row r="14">
      <c r="A14" s="1" t="inlineStr">
        <is>
          <t>Comparison</t>
        </is>
      </c>
    </row>
    <row r="15" ht="30" customHeight="1">
      <c r="A15" s="4" t="inlineStr">
        <is>
          <t>Option</t>
        </is>
      </c>
      <c r="B15" s="4" t="inlineStr">
        <is>
          <t>EMV</t>
        </is>
      </c>
      <c r="C15" s="4" t="inlineStr">
        <is>
          <t>Best case</t>
        </is>
      </c>
      <c r="D15" s="4" t="inlineStr">
        <is>
          <t>Worst case</t>
        </is>
      </c>
      <c r="E15" s="4" t="inlineStr">
        <is>
          <t>P(loss)</t>
        </is>
      </c>
    </row>
    <row r="16">
      <c r="A16" s="5" t="inlineStr">
        <is>
          <t>Fund an eight-week paid pilot, then decide</t>
        </is>
      </c>
      <c r="B16" s="16">
        <f>F11</f>
        <v/>
      </c>
      <c r="C16" s="8" t="n">
        <v>176000</v>
      </c>
      <c r="D16" s="8" t="n">
        <v>-46000</v>
      </c>
      <c r="E16" s="7" t="n">
        <v>0.35</v>
      </c>
    </row>
    <row r="17">
      <c r="A17" s="5" t="inlineStr">
        <is>
          <t>Build the full product now</t>
        </is>
      </c>
      <c r="B17" s="16">
        <f>F5</f>
        <v/>
      </c>
      <c r="C17" s="8" t="n">
        <v>205000</v>
      </c>
      <c r="D17" s="8" t="n">
        <v>-95000</v>
      </c>
      <c r="E17" s="7" t="n">
        <v>0.4</v>
      </c>
    </row>
    <row r="18">
      <c r="A18" s="5" t="inlineStr">
        <is>
          <t>License a commercial ITSM product</t>
        </is>
      </c>
      <c r="B18" s="16">
        <f>F8</f>
        <v/>
      </c>
      <c r="C18" s="8" t="n">
        <v>120000</v>
      </c>
      <c r="D18" s="8" t="n">
        <v>15000</v>
      </c>
      <c r="E18" s="7" t="n">
        <v>0</v>
      </c>
    </row>
    <row r="20" ht="46" customHeight="1">
      <c r="A20" s="3" t="inlineStr">
        <is>
          <t>Decision</t>
        </is>
      </c>
      <c r="B20" s="24" t="inlineStr">
        <is>
          <t>Fund an eight-week paid pilot, then decide — highest EMV at $98,300, $13,300 ahead of Build the full product now, and it caps the downside at $46,000 instead of $95,000.</t>
        </is>
      </c>
    </row>
  </sheetData>
  <pageMargins left="0.75" right="0.75" top="1" bottom="1" header="0.5" footer="0.5"/>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D12"/>
  <sheetViews>
    <sheetView workbookViewId="0">
      <pane ySplit="4" topLeftCell="A5" activePane="bottomLeft" state="frozen"/>
      <selection pane="bottomLeft" activeCell="A1" sqref="A1"/>
    </sheetView>
  </sheetViews>
  <sheetFormatPr baseColWidth="8" defaultRowHeight="15"/>
  <cols>
    <col width="36" customWidth="1" min="1" max="1"/>
    <col width="22" customWidth="1" min="2" max="2"/>
    <col width="52" customWidth="1" min="3" max="3"/>
    <col width="14" customWidth="1" min="4" max="4"/>
  </cols>
  <sheetData>
    <row r="1">
      <c r="A1" s="1" t="inlineStr">
        <is>
          <t>Part J — Monte Carlo Input Distributions</t>
        </is>
      </c>
    </row>
    <row r="2" ht="30" customHeight="1">
      <c r="A2" s="2" t="inlineStr">
        <is>
          <t>10,000 trials, seed 165. Six uncertain variables; the assignment asks for at least three.</t>
        </is>
      </c>
    </row>
    <row r="4" ht="30" customHeight="1">
      <c r="A4" s="4" t="inlineStr">
        <is>
          <t>Variable</t>
        </is>
      </c>
      <c r="B4" s="4" t="inlineStr">
        <is>
          <t>Distribution</t>
        </is>
      </c>
      <c r="C4" s="4" t="inlineStr">
        <is>
          <t>Parameters</t>
        </is>
      </c>
      <c r="D4" s="4" t="inlineStr">
        <is>
          <t>Sampled mean</t>
        </is>
      </c>
    </row>
    <row r="5">
      <c r="A5" s="5" t="inlineStr">
        <is>
          <t>Engineering effort (person-weeks)</t>
        </is>
      </c>
      <c r="B5" s="5" t="inlineStr">
        <is>
          <t>Triangular</t>
        </is>
      </c>
      <c r="C5" s="5" t="inlineStr">
        <is>
          <t>min 30, likely 38, max 62</t>
        </is>
      </c>
      <c r="D5" s="5" t="n">
        <v>43.35</v>
      </c>
    </row>
    <row r="6">
      <c r="A6" s="5" t="inlineStr">
        <is>
          <t>Blended loaded build rate ($/hr)</t>
        </is>
      </c>
      <c r="B6" s="5" t="inlineStr">
        <is>
          <t>Normal, clipped</t>
        </is>
      </c>
      <c r="C6" s="5" t="inlineStr">
        <is>
          <t>mean 88, sd 7, clipped to [70, 118]</t>
        </is>
      </c>
      <c r="D6" s="5" t="n">
        <v>88.08</v>
      </c>
    </row>
    <row r="7">
      <c r="A7" s="5" t="inlineStr">
        <is>
          <t>SSO / Banner rework cost ($)</t>
        </is>
      </c>
      <c r="B7" s="5" t="inlineStr">
        <is>
          <t>Bernoulli x Triangular</t>
        </is>
      </c>
      <c r="C7" s="5" t="inlineStr">
        <is>
          <t>p 35%, then triangular 8,000 / 15,000 / 34,000</t>
        </is>
      </c>
      <c r="D7" s="5" t="n">
        <v>6683.34</v>
      </c>
    </row>
    <row r="8">
      <c r="A8" s="5" t="inlineStr">
        <is>
          <t>Minutes saved per ticket</t>
        </is>
      </c>
      <c r="B8" s="5" t="inlineStr">
        <is>
          <t>Triangular</t>
        </is>
      </c>
      <c r="C8" s="5" t="inlineStr">
        <is>
          <t>min 4, likely 10, max 14</t>
        </is>
      </c>
      <c r="D8" s="5" t="n">
        <v>9.31</v>
      </c>
    </row>
    <row r="9">
      <c r="A9" s="5" t="inlineStr">
        <is>
          <t>Steady-state adoption share</t>
        </is>
      </c>
      <c r="B9" s="5" t="inlineStr">
        <is>
          <t>Triangular</t>
        </is>
      </c>
      <c r="C9" s="5" t="inlineStr">
        <is>
          <t>min 55%, likely 92%, max 100%</t>
        </is>
      </c>
      <c r="D9" s="5" t="n">
        <v>0.8242</v>
      </c>
    </row>
    <row r="10">
      <c r="A10" s="5" t="inlineStr">
        <is>
          <t>Annual run cost ($)</t>
        </is>
      </c>
      <c r="B10" s="5" t="inlineStr">
        <is>
          <t>Uniform</t>
        </is>
      </c>
      <c r="C10" s="5" t="inlineStr">
        <is>
          <t>20,000 to 34,000</t>
        </is>
      </c>
      <c r="D10" s="5" t="n">
        <v>26989.72</v>
      </c>
    </row>
    <row r="12">
      <c r="A12" s="14" t="inlineStr">
        <is>
          <t>Effort is triangular and right-skewed because software effort overruns far more often than it underruns. That asymmetry is the reason the simulated mean cost exceeds the team's point estimate.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35"/>
  <sheetViews>
    <sheetView workbookViewId="0">
      <pane ySplit="25" topLeftCell="A26" activePane="bottomLeft" state="frozen"/>
      <selection pane="bottomLeft" activeCell="A1" sqref="A1"/>
    </sheetView>
  </sheetViews>
  <sheetFormatPr baseColWidth="8" defaultRowHeight="15"/>
  <cols>
    <col width="40" customWidth="1" min="1" max="1"/>
    <col width="20" customWidth="1" min="2" max="2"/>
    <col width="20" customWidth="1" min="3" max="3"/>
  </cols>
  <sheetData>
    <row r="1">
      <c r="A1" s="1" t="inlineStr">
        <is>
          <t>Part J — Simulation Results</t>
        </is>
      </c>
    </row>
    <row r="2" ht="30" customHeight="1">
      <c r="A2" s="2" t="inlineStr">
        <is>
          <t>The deterministic figures in Part D use the mode of every input. These are the distributions those single values were hiding.</t>
        </is>
      </c>
    </row>
    <row r="4">
      <c r="A4" s="1" t="inlineStr">
        <is>
          <t>Build cost</t>
        </is>
      </c>
    </row>
    <row r="5">
      <c r="A5" t="inlineStr">
        <is>
          <t>Team point estimate (Part D)</t>
        </is>
      </c>
      <c r="B5" s="15" t="n">
        <v>157760</v>
      </c>
    </row>
    <row r="6">
      <c r="A6" t="inlineStr">
        <is>
          <t>Simulated mean</t>
        </is>
      </c>
      <c r="B6" s="15" t="n">
        <v>183414.2</v>
      </c>
    </row>
    <row r="7">
      <c r="A7" t="inlineStr">
        <is>
          <t>Median (P50)</t>
        </is>
      </c>
      <c r="B7" s="15" t="n">
        <v>180823.1</v>
      </c>
    </row>
    <row r="8">
      <c r="A8" t="inlineStr">
        <is>
          <t>Low case (P10)</t>
        </is>
      </c>
      <c r="B8" s="15" t="n">
        <v>148459.41</v>
      </c>
    </row>
    <row r="9">
      <c r="A9" t="inlineStr">
        <is>
          <t>P80 — recommended budget</t>
        </is>
      </c>
      <c r="B9" s="15" t="n">
        <v>208010.76</v>
      </c>
    </row>
    <row r="10">
      <c r="A10" t="inlineStr">
        <is>
          <t>High case (P90)</t>
        </is>
      </c>
      <c r="B10" s="15" t="n">
        <v>222741.62</v>
      </c>
    </row>
    <row r="11">
      <c r="A11" t="inlineStr">
        <is>
          <t>Optimism gap (mean minus estimate)</t>
        </is>
      </c>
      <c r="B11" s="15" t="n">
        <v>25654.2</v>
      </c>
    </row>
    <row r="12">
      <c r="A12" t="inlineStr">
        <is>
          <t>Approved capital budget</t>
        </is>
      </c>
      <c r="B12" s="15" t="n">
        <v>185000</v>
      </c>
    </row>
    <row r="13">
      <c r="A13" s="3" t="inlineStr">
        <is>
          <t>P(cost exceeds approved budget)</t>
        </is>
      </c>
      <c r="B13" s="25" t="n">
        <v>0.4408</v>
      </c>
    </row>
    <row r="15">
      <c r="A15" s="1" t="inlineStr">
        <is>
          <t>Four-year NPV</t>
        </is>
      </c>
    </row>
    <row r="16">
      <c r="A16" t="inlineStr">
        <is>
          <t>Deterministic NPV (Part D)</t>
        </is>
      </c>
      <c r="B16" s="15" t="n">
        <v>179669.77</v>
      </c>
    </row>
    <row r="17">
      <c r="A17" t="inlineStr">
        <is>
          <t>Simulated mean</t>
        </is>
      </c>
      <c r="B17" s="15" t="n">
        <v>54286.13</v>
      </c>
    </row>
    <row r="18">
      <c r="A18" t="inlineStr">
        <is>
          <t>Median (P50)</t>
        </is>
      </c>
      <c r="B18" s="15" t="n">
        <v>54331.58</v>
      </c>
    </row>
    <row r="19">
      <c r="A19" t="inlineStr">
        <is>
          <t>Worst case (P5)</t>
        </is>
      </c>
      <c r="B19" s="15" t="n">
        <v>-81196.11</v>
      </c>
    </row>
    <row r="20">
      <c r="A20" t="inlineStr">
        <is>
          <t>Low case (P10)</t>
        </is>
      </c>
      <c r="B20" s="15" t="n">
        <v>-56353.91</v>
      </c>
    </row>
    <row r="21">
      <c r="A21" t="inlineStr">
        <is>
          <t>High case (P90)</t>
        </is>
      </c>
      <c r="B21" s="15" t="n">
        <v>164775.29</v>
      </c>
    </row>
    <row r="22">
      <c r="A22" t="inlineStr">
        <is>
          <t>Best case (P95)</t>
        </is>
      </c>
      <c r="B22" s="15" t="n">
        <v>191975.8</v>
      </c>
    </row>
    <row r="23">
      <c r="A23" s="3" t="inlineStr">
        <is>
          <t>P(NPV below zero)</t>
        </is>
      </c>
      <c r="B23" s="25" t="n">
        <v>0.273</v>
      </c>
    </row>
    <row r="25" ht="30" customHeight="1">
      <c r="A25" s="4" t="inlineStr">
        <is>
          <t>Percentile</t>
        </is>
      </c>
      <c r="B25" s="4" t="inlineStr">
        <is>
          <t>Total build cost</t>
        </is>
      </c>
      <c r="C25" s="4" t="inlineStr">
        <is>
          <t>Four-year NPV</t>
        </is>
      </c>
    </row>
    <row r="26">
      <c r="A26" s="5" t="inlineStr">
        <is>
          <t>P5</t>
        </is>
      </c>
      <c r="B26" s="8" t="n">
        <v>140992.5</v>
      </c>
      <c r="C26" s="8" t="n">
        <v>-81196.11</v>
      </c>
    </row>
    <row r="27">
      <c r="A27" s="5" t="inlineStr">
        <is>
          <t>P10</t>
        </is>
      </c>
      <c r="B27" s="8" t="n">
        <v>148459.41</v>
      </c>
      <c r="C27" s="8" t="n">
        <v>-56353.91</v>
      </c>
    </row>
    <row r="28">
      <c r="A28" s="5" t="inlineStr">
        <is>
          <t>P25</t>
        </is>
      </c>
      <c r="B28" s="8" t="n">
        <v>161826.37</v>
      </c>
      <c r="C28" s="8" t="n">
        <v>-6261.99</v>
      </c>
    </row>
    <row r="29">
      <c r="A29" s="5" t="inlineStr">
        <is>
          <t>P50</t>
        </is>
      </c>
      <c r="B29" s="8" t="n">
        <v>180823.1</v>
      </c>
      <c r="C29" s="8" t="n">
        <v>54331.58</v>
      </c>
    </row>
    <row r="30">
      <c r="A30" s="5" t="inlineStr">
        <is>
          <t>P75</t>
        </is>
      </c>
      <c r="B30" s="8" t="n">
        <v>202360.96</v>
      </c>
      <c r="C30" s="8" t="n">
        <v>113532.3</v>
      </c>
    </row>
    <row r="31">
      <c r="A31" s="5" t="inlineStr">
        <is>
          <t>P80</t>
        </is>
      </c>
      <c r="B31" s="8" t="n">
        <v>208010.76</v>
      </c>
      <c r="C31" s="8" t="n">
        <v>127847.35</v>
      </c>
    </row>
    <row r="32">
      <c r="A32" s="5" t="inlineStr">
        <is>
          <t>P90</t>
        </is>
      </c>
      <c r="B32" s="8" t="n">
        <v>222741.62</v>
      </c>
      <c r="C32" s="8" t="n">
        <v>164775.29</v>
      </c>
    </row>
    <row r="33">
      <c r="A33" s="5" t="inlineStr">
        <is>
          <t>P95</t>
        </is>
      </c>
      <c r="B33" s="8" t="n">
        <v>234739.88</v>
      </c>
      <c r="C33" s="8" t="n">
        <v>191975.8</v>
      </c>
    </row>
    <row r="35">
      <c r="A35" s="14" t="inlineStr">
        <is>
          <t>Decision this changes: hold capital against the P80 cost, not the point estimate, and spend $46,000 on a pilot to measure the two variables that dominate NPV before committing the rest.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12"/>
  <sheetViews>
    <sheetView workbookViewId="0">
      <pane ySplit="4" topLeftCell="A5" activePane="bottomLeft" state="frozen"/>
      <selection pane="bottomLeft" activeCell="A1" sqref="A1"/>
    </sheetView>
  </sheetViews>
  <sheetFormatPr baseColWidth="8" defaultRowHeight="15"/>
  <cols>
    <col width="34" customWidth="1" min="1" max="1"/>
    <col width="22" customWidth="1" min="2" max="2"/>
    <col width="22" customWidth="1" min="3" max="3"/>
  </cols>
  <sheetData>
    <row r="1">
      <c r="A1" s="1" t="inlineStr">
        <is>
          <t>Part J — Sensitivity</t>
        </is>
      </c>
    </row>
    <row r="2" ht="30" customHeight="1">
      <c r="A2" s="2" t="inlineStr">
        <is>
          <t>Correlation of each sampled input with the resulting NPV. The square of the correlation is roughly the share of NPV variance it explains.</t>
        </is>
      </c>
    </row>
    <row r="4" ht="30" customHeight="1">
      <c r="A4" s="4" t="inlineStr">
        <is>
          <t>Variable</t>
        </is>
      </c>
      <c r="B4" s="4" t="inlineStr">
        <is>
          <t>Correlation with NPV</t>
        </is>
      </c>
      <c r="C4" s="4" t="inlineStr">
        <is>
          <t>Share of NPV variance</t>
        </is>
      </c>
    </row>
    <row r="5">
      <c r="A5" s="5" t="inlineStr">
        <is>
          <t>minutes saved</t>
        </is>
      </c>
      <c r="B5" s="26" t="n">
        <v>0.7927999999999999</v>
      </c>
      <c r="C5" s="27">
        <f>B5^2</f>
        <v/>
      </c>
    </row>
    <row r="6">
      <c r="A6" s="5" t="inlineStr">
        <is>
          <t>steady adoption</t>
        </is>
      </c>
      <c r="B6" s="26" t="n">
        <v>0.4776</v>
      </c>
      <c r="C6" s="27">
        <f>B6^2</f>
        <v/>
      </c>
    </row>
    <row r="7">
      <c r="A7" s="5" t="inlineStr">
        <is>
          <t>effort person weeks</t>
        </is>
      </c>
      <c r="B7" s="26" t="n">
        <v>-0.2781</v>
      </c>
      <c r="C7" s="27">
        <f>B7^2</f>
        <v/>
      </c>
    </row>
    <row r="8">
      <c r="A8" s="5" t="inlineStr">
        <is>
          <t>annual run cost</t>
        </is>
      </c>
      <c r="B8" s="26" t="n">
        <v>-0.1758</v>
      </c>
      <c r="C8" s="27">
        <f>B8^2</f>
        <v/>
      </c>
    </row>
    <row r="9">
      <c r="A9" s="5" t="inlineStr">
        <is>
          <t>build rate</t>
        </is>
      </c>
      <c r="B9" s="26" t="n">
        <v>-0.1524</v>
      </c>
      <c r="C9" s="27">
        <f>B9^2</f>
        <v/>
      </c>
    </row>
    <row r="10">
      <c r="A10" s="5" t="inlineStr">
        <is>
          <t>sso rework cost</t>
        </is>
      </c>
      <c r="B10" s="26" t="n">
        <v>-0.1334</v>
      </c>
      <c r="C10" s="27">
        <f>B10^2</f>
        <v/>
      </c>
    </row>
    <row r="12">
      <c r="A12" s="14" t="inlineStr">
        <is>
          <t>Minutes saved per ticket and adoption dominate. Engineering effort, the variable teams normally pad, is third. CTS is buying a behavior change more than a software project, which is exactly what a pilot can test cheaply.</t>
        </is>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2026-09-21T03:42:45Z</dcterms:created>
  <dcterms:modified xmlns:dcterms="http://purl.org/dc/terms/" xmlns:xsi="http://www.w3.org/2001/XMLSchema-instance" xsi:type="dcterms:W3CDTF">2026-09-21T03:42:45Z</dcterms:modified>
</cp:coreProperties>
</file>